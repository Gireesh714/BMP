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35023788cd3a17d/Desktop/"/>
    </mc:Choice>
  </mc:AlternateContent>
  <xr:revisionPtr revIDLastSave="582" documentId="8_{39CB6EFC-0F35-4EC6-B546-A7817846E0F7}" xr6:coauthVersionLast="47" xr6:coauthVersionMax="47" xr10:uidLastSave="{AD8AF92D-8979-4485-B5D4-61DDA93DE327}"/>
  <bookViews>
    <workbookView xWindow="-120" yWindow="-120" windowWidth="20730" windowHeight="11040" xr2:uid="{4B0AA389-166E-4FB0-B459-F868EC4F8C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35" i="1" l="1"/>
  <c r="AA36" i="1"/>
  <c r="AA37" i="1"/>
  <c r="AA38" i="1"/>
  <c r="AA39" i="1"/>
  <c r="AA40" i="1"/>
  <c r="AA41" i="1"/>
  <c r="AA42" i="1"/>
  <c r="AA34" i="1"/>
  <c r="W35" i="1"/>
  <c r="W36" i="1"/>
  <c r="W37" i="1"/>
  <c r="W38" i="1"/>
  <c r="W39" i="1"/>
  <c r="W40" i="1"/>
  <c r="W41" i="1"/>
  <c r="W42" i="1"/>
  <c r="W34" i="1"/>
  <c r="Y35" i="1"/>
  <c r="Y36" i="1"/>
  <c r="Y37" i="1"/>
  <c r="Y38" i="1"/>
  <c r="Y39" i="1"/>
  <c r="Y40" i="1"/>
  <c r="Y41" i="1"/>
  <c r="Y42" i="1"/>
  <c r="Y34" i="1"/>
  <c r="U35" i="1"/>
  <c r="U36" i="1"/>
  <c r="U37" i="1"/>
  <c r="U38" i="1"/>
  <c r="U39" i="1"/>
  <c r="U40" i="1"/>
  <c r="U41" i="1"/>
  <c r="U42" i="1"/>
  <c r="U34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" i="1"/>
</calcChain>
</file>

<file path=xl/sharedStrings.xml><?xml version="1.0" encoding="utf-8"?>
<sst xmlns="http://schemas.openxmlformats.org/spreadsheetml/2006/main" count="134" uniqueCount="77">
  <si>
    <t>Stop Name</t>
  </si>
  <si>
    <t>Route (Ahmedabad / Gandhinagar)</t>
  </si>
  <si>
    <t>Area Type (Residential / Commercial / Institutional / Mixed)</t>
  </si>
  <si>
    <t>Passenger Density (1–3)</t>
  </si>
  <si>
    <t>Lighting Quality</t>
  </si>
  <si>
    <t>CCTV Presence</t>
  </si>
  <si>
    <t>Pedestrian Crossing Facility</t>
  </si>
  <si>
    <t>Traffic Speed Control</t>
  </si>
  <si>
    <t>Structural Condition</t>
  </si>
  <si>
    <t>Visibility / Natural Surveillance</t>
  </si>
  <si>
    <t>Covered Shelter</t>
  </si>
  <si>
    <t>Seating Availability</t>
  </si>
  <si>
    <t>Route Information Display</t>
  </si>
  <si>
    <t>Digital Display</t>
  </si>
  <si>
    <t>Cleanliness</t>
  </si>
  <si>
    <t>Nearby Shops (≤50m)</t>
  </si>
  <si>
    <t>Total Safety Score</t>
  </si>
  <si>
    <t>Safety Index → =(U/18)*100</t>
  </si>
  <si>
    <t>Total Amenity Score</t>
  </si>
  <si>
    <t>Amenity Index → =(Y/18)*100</t>
  </si>
  <si>
    <t>RTO Circle</t>
  </si>
  <si>
    <t>Ranip</t>
  </si>
  <si>
    <t>Bhavsar Hostel</t>
  </si>
  <si>
    <t>Akhbarnagar</t>
  </si>
  <si>
    <t>Pragatinagar</t>
  </si>
  <si>
    <t>Shastrinagar</t>
  </si>
  <si>
    <t>Jaymangal</t>
  </si>
  <si>
    <t>Sola Cross Roads</t>
  </si>
  <si>
    <t>Valinath Chowk</t>
  </si>
  <si>
    <t>Memnagar</t>
  </si>
  <si>
    <t>Gujarat University</t>
  </si>
  <si>
    <t>Andhjan Mandal</t>
  </si>
  <si>
    <t>Himmatlal Park</t>
  </si>
  <si>
    <t>Shivaranjani</t>
  </si>
  <si>
    <t>Jhansi Ki Rani</t>
  </si>
  <si>
    <t>Nehrunagar</t>
  </si>
  <si>
    <t>Manekbaug</t>
  </si>
  <si>
    <t>Dharnidhar Derasar</t>
  </si>
  <si>
    <t>Anjali</t>
  </si>
  <si>
    <t>Chandranagar</t>
  </si>
  <si>
    <t>Khodiyarnagar</t>
  </si>
  <si>
    <t>Danilimda Cross Roads</t>
  </si>
  <si>
    <t>Vaikunthdham Mandir</t>
  </si>
  <si>
    <t>Swaminarayan College</t>
  </si>
  <si>
    <t>Kankaria Telephone Exchnage</t>
  </si>
  <si>
    <t>Kankaria Lake</t>
  </si>
  <si>
    <t>Rambaug</t>
  </si>
  <si>
    <t>Maninagar Char Rasta</t>
  </si>
  <si>
    <t>Maninagar</t>
  </si>
  <si>
    <t>Sector 21</t>
  </si>
  <si>
    <t>Sector 10</t>
  </si>
  <si>
    <t>Secreteriat</t>
  </si>
  <si>
    <t>Pathikashram</t>
  </si>
  <si>
    <t>Infocity</t>
  </si>
  <si>
    <t>Raysan</t>
  </si>
  <si>
    <t>PDPU Road</t>
  </si>
  <si>
    <t>Koba Circle</t>
  </si>
  <si>
    <t>Chiloda</t>
  </si>
  <si>
    <t>Ahmedabad</t>
  </si>
  <si>
    <t>Gandhinagar</t>
  </si>
  <si>
    <t>Mixed</t>
  </si>
  <si>
    <t>Residential</t>
  </si>
  <si>
    <t>Commercial</t>
  </si>
  <si>
    <t>Residential/Institutional</t>
  </si>
  <si>
    <t>Commercial/Institutional</t>
  </si>
  <si>
    <t>Residential/Mixed</t>
  </si>
  <si>
    <t>Institutional</t>
  </si>
  <si>
    <t>Commercial/Mixed</t>
  </si>
  <si>
    <t>Residential/Religious</t>
  </si>
  <si>
    <t>Commercial/Residential/Mixed</t>
  </si>
  <si>
    <t>Religious/Residential</t>
  </si>
  <si>
    <t>Recreational/Commercial</t>
  </si>
  <si>
    <t>Commercial/Transport Hub</t>
  </si>
  <si>
    <t>Institutional/Mixed</t>
  </si>
  <si>
    <t>Commercial/IT</t>
  </si>
  <si>
    <t>Transport Junction</t>
  </si>
  <si>
    <t>Industrial/Transport Junction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</si>
</sst>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C414A-612E-4C5E-A435-6AC2C71EEC5C}">
  <dimension ref="A1:AA42"/>
  <sheetViews>
    <sheetView tabSelected="1" zoomScale="76" workbookViewId="0">
      <selection activeCell="E3" sqref="E3"/>
    </sheetView>
  </sheetViews>
  <sheetFormatPr defaultRowHeight="15" x14ac:dyDescent="0.25"/>
  <cols>
    <col min="1" max="1" width="27" customWidth="1"/>
    <col min="2" max="2" width="31" customWidth="1"/>
    <col min="3" max="3" width="53.28515625" customWidth="1"/>
    <col min="4" max="4" width="21.5703125" customWidth="1"/>
    <col min="5" max="5" width="16.5703125" customWidth="1"/>
    <col min="7" max="7" width="14.42578125" customWidth="1"/>
    <col min="8" max="8" width="14" customWidth="1"/>
    <col min="9" max="9" width="24.85546875" customWidth="1"/>
    <col min="10" max="10" width="19.5703125" customWidth="1"/>
    <col min="11" max="11" width="18.5703125" customWidth="1"/>
    <col min="12" max="12" width="28.140625" customWidth="1"/>
    <col min="14" max="14" width="15.140625" customWidth="1"/>
    <col min="15" max="15" width="17.7109375" customWidth="1"/>
    <col min="16" max="16" width="24" customWidth="1"/>
    <col min="17" max="17" width="13.5703125" customWidth="1"/>
    <col min="18" max="18" width="11" customWidth="1"/>
    <col min="19" max="19" width="19.42578125" customWidth="1"/>
    <col min="21" max="21" width="16.42578125" customWidth="1"/>
    <col min="23" max="23" width="25.140625" customWidth="1"/>
    <col min="25" max="25" width="18.7109375" customWidth="1"/>
    <col min="27" max="27" width="27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U1" t="s">
        <v>16</v>
      </c>
      <c r="W1" t="s">
        <v>17</v>
      </c>
      <c r="Y1" t="s">
        <v>18</v>
      </c>
      <c r="AA1" t="s">
        <v>19</v>
      </c>
    </row>
    <row r="3" spans="1:27" x14ac:dyDescent="0.25">
      <c r="A3" t="s">
        <v>20</v>
      </c>
      <c r="B3" t="s">
        <v>58</v>
      </c>
      <c r="C3" t="s">
        <v>60</v>
      </c>
      <c r="D3">
        <v>3</v>
      </c>
      <c r="G3">
        <v>3</v>
      </c>
      <c r="H3">
        <v>3</v>
      </c>
      <c r="I3">
        <v>3</v>
      </c>
      <c r="J3">
        <v>3</v>
      </c>
      <c r="K3">
        <v>3</v>
      </c>
      <c r="L3">
        <v>3</v>
      </c>
      <c r="N3">
        <v>3</v>
      </c>
      <c r="O3">
        <v>2</v>
      </c>
      <c r="P3">
        <v>0</v>
      </c>
      <c r="Q3">
        <v>0</v>
      </c>
      <c r="R3">
        <v>2</v>
      </c>
      <c r="S3">
        <v>3</v>
      </c>
      <c r="U3">
        <f>SUM(G3:L3)</f>
        <v>18</v>
      </c>
      <c r="W3">
        <f>(U3/18)*100</f>
        <v>100</v>
      </c>
      <c r="Y3">
        <f>SUM(N3:S3)</f>
        <v>10</v>
      </c>
      <c r="AA3">
        <f>(Y3/18)*100</f>
        <v>55.555555555555557</v>
      </c>
    </row>
    <row r="4" spans="1:27" x14ac:dyDescent="0.25">
      <c r="A4" t="s">
        <v>21</v>
      </c>
      <c r="B4" t="s">
        <v>58</v>
      </c>
      <c r="C4" t="s">
        <v>61</v>
      </c>
      <c r="D4">
        <v>2</v>
      </c>
      <c r="G4">
        <v>3</v>
      </c>
      <c r="H4">
        <v>3</v>
      </c>
      <c r="I4">
        <v>3</v>
      </c>
      <c r="J4">
        <v>3</v>
      </c>
      <c r="K4">
        <v>3</v>
      </c>
      <c r="L4">
        <v>3</v>
      </c>
      <c r="N4">
        <v>3</v>
      </c>
      <c r="O4">
        <v>3</v>
      </c>
      <c r="P4">
        <v>3</v>
      </c>
      <c r="Q4">
        <v>3</v>
      </c>
      <c r="R4">
        <v>3</v>
      </c>
      <c r="S4">
        <v>3</v>
      </c>
      <c r="U4">
        <f t="shared" ref="U4:U31" si="0">SUM(G4:L4)</f>
        <v>18</v>
      </c>
      <c r="W4">
        <f t="shared" ref="W4:W31" si="1">(U4/18)*100</f>
        <v>100</v>
      </c>
      <c r="Y4">
        <f t="shared" ref="Y4:Y31" si="2">SUM(N4:S4)</f>
        <v>18</v>
      </c>
      <c r="AA4">
        <f t="shared" ref="AA4:AA31" si="3">(Y4/18)*100</f>
        <v>100</v>
      </c>
    </row>
    <row r="5" spans="1:27" x14ac:dyDescent="0.25">
      <c r="A5" t="s">
        <v>22</v>
      </c>
      <c r="B5" t="s">
        <v>58</v>
      </c>
      <c r="C5" t="s">
        <v>61</v>
      </c>
      <c r="D5">
        <v>2</v>
      </c>
      <c r="G5">
        <v>3</v>
      </c>
      <c r="H5">
        <v>3</v>
      </c>
      <c r="I5">
        <v>3</v>
      </c>
      <c r="J5">
        <v>3</v>
      </c>
      <c r="K5">
        <v>3</v>
      </c>
      <c r="L5">
        <v>3</v>
      </c>
      <c r="N5">
        <v>3</v>
      </c>
      <c r="O5">
        <v>3</v>
      </c>
      <c r="P5">
        <v>3</v>
      </c>
      <c r="Q5">
        <v>3</v>
      </c>
      <c r="R5">
        <v>3</v>
      </c>
      <c r="S5">
        <v>1</v>
      </c>
      <c r="U5">
        <f t="shared" si="0"/>
        <v>18</v>
      </c>
      <c r="W5">
        <f t="shared" si="1"/>
        <v>100</v>
      </c>
      <c r="Y5">
        <f t="shared" si="2"/>
        <v>16</v>
      </c>
      <c r="AA5">
        <f t="shared" si="3"/>
        <v>88.888888888888886</v>
      </c>
    </row>
    <row r="6" spans="1:27" x14ac:dyDescent="0.25">
      <c r="A6" t="s">
        <v>23</v>
      </c>
      <c r="B6" t="s">
        <v>58</v>
      </c>
      <c r="C6" t="s">
        <v>62</v>
      </c>
      <c r="D6">
        <v>3</v>
      </c>
      <c r="G6">
        <v>3</v>
      </c>
      <c r="H6">
        <v>3</v>
      </c>
      <c r="I6">
        <v>3</v>
      </c>
      <c r="J6">
        <v>3</v>
      </c>
      <c r="K6">
        <v>3</v>
      </c>
      <c r="L6">
        <v>3</v>
      </c>
      <c r="N6">
        <v>3</v>
      </c>
      <c r="O6">
        <v>3</v>
      </c>
      <c r="P6">
        <v>2</v>
      </c>
      <c r="Q6">
        <v>3</v>
      </c>
      <c r="R6">
        <v>1</v>
      </c>
      <c r="S6">
        <v>0</v>
      </c>
      <c r="U6">
        <f t="shared" si="0"/>
        <v>18</v>
      </c>
      <c r="W6">
        <f t="shared" si="1"/>
        <v>100</v>
      </c>
      <c r="Y6">
        <f t="shared" si="2"/>
        <v>12</v>
      </c>
      <c r="AA6">
        <f t="shared" si="3"/>
        <v>66.666666666666657</v>
      </c>
    </row>
    <row r="7" spans="1:27" x14ac:dyDescent="0.25">
      <c r="A7" t="s">
        <v>24</v>
      </c>
      <c r="B7" t="s">
        <v>58</v>
      </c>
      <c r="C7" t="s">
        <v>61</v>
      </c>
      <c r="D7">
        <v>2</v>
      </c>
      <c r="G7">
        <v>2</v>
      </c>
      <c r="H7">
        <v>3</v>
      </c>
      <c r="I7">
        <v>2</v>
      </c>
      <c r="J7">
        <v>3</v>
      </c>
      <c r="K7">
        <v>3</v>
      </c>
      <c r="L7">
        <v>3</v>
      </c>
      <c r="N7">
        <v>3</v>
      </c>
      <c r="O7">
        <v>3</v>
      </c>
      <c r="P7">
        <v>3</v>
      </c>
      <c r="Q7">
        <v>3</v>
      </c>
      <c r="R7">
        <v>1</v>
      </c>
      <c r="S7">
        <v>1</v>
      </c>
      <c r="U7">
        <f t="shared" si="0"/>
        <v>16</v>
      </c>
      <c r="W7">
        <f t="shared" si="1"/>
        <v>88.888888888888886</v>
      </c>
      <c r="Y7">
        <f t="shared" si="2"/>
        <v>14</v>
      </c>
      <c r="AA7">
        <f t="shared" si="3"/>
        <v>77.777777777777786</v>
      </c>
    </row>
    <row r="8" spans="1:27" x14ac:dyDescent="0.25">
      <c r="A8" t="s">
        <v>25</v>
      </c>
      <c r="B8" t="s">
        <v>58</v>
      </c>
      <c r="C8" t="s">
        <v>63</v>
      </c>
      <c r="D8">
        <v>2</v>
      </c>
      <c r="G8">
        <v>2</v>
      </c>
      <c r="H8">
        <v>3</v>
      </c>
      <c r="I8">
        <v>2</v>
      </c>
      <c r="J8">
        <v>3</v>
      </c>
      <c r="K8">
        <v>3</v>
      </c>
      <c r="L8">
        <v>2</v>
      </c>
      <c r="N8">
        <v>3</v>
      </c>
      <c r="O8">
        <v>3</v>
      </c>
      <c r="P8">
        <v>3</v>
      </c>
      <c r="Q8">
        <v>1</v>
      </c>
      <c r="R8">
        <v>2</v>
      </c>
      <c r="S8">
        <v>1</v>
      </c>
      <c r="U8">
        <f t="shared" si="0"/>
        <v>15</v>
      </c>
      <c r="W8">
        <f t="shared" si="1"/>
        <v>83.333333333333343</v>
      </c>
      <c r="Y8">
        <f t="shared" si="2"/>
        <v>13</v>
      </c>
      <c r="AA8">
        <f t="shared" si="3"/>
        <v>72.222222222222214</v>
      </c>
    </row>
    <row r="9" spans="1:27" x14ac:dyDescent="0.25">
      <c r="A9" t="s">
        <v>26</v>
      </c>
      <c r="B9" t="s">
        <v>58</v>
      </c>
      <c r="C9" t="s">
        <v>62</v>
      </c>
      <c r="D9">
        <v>3</v>
      </c>
      <c r="G9">
        <v>2</v>
      </c>
      <c r="H9">
        <v>3</v>
      </c>
      <c r="I9">
        <v>3</v>
      </c>
      <c r="J9">
        <v>3</v>
      </c>
      <c r="K9">
        <v>3</v>
      </c>
      <c r="L9">
        <v>3</v>
      </c>
      <c r="N9">
        <v>3</v>
      </c>
      <c r="O9">
        <v>3</v>
      </c>
      <c r="P9">
        <v>3</v>
      </c>
      <c r="Q9">
        <v>1</v>
      </c>
      <c r="R9">
        <v>2</v>
      </c>
      <c r="S9">
        <v>0</v>
      </c>
      <c r="U9">
        <f t="shared" si="0"/>
        <v>17</v>
      </c>
      <c r="W9">
        <f t="shared" si="1"/>
        <v>94.444444444444443</v>
      </c>
      <c r="Y9">
        <f t="shared" si="2"/>
        <v>12</v>
      </c>
      <c r="AA9">
        <f t="shared" si="3"/>
        <v>66.666666666666657</v>
      </c>
    </row>
    <row r="10" spans="1:27" x14ac:dyDescent="0.25">
      <c r="A10" t="s">
        <v>27</v>
      </c>
      <c r="B10" t="s">
        <v>58</v>
      </c>
      <c r="C10" t="s">
        <v>64</v>
      </c>
      <c r="D10">
        <v>3</v>
      </c>
      <c r="G10">
        <v>2</v>
      </c>
      <c r="H10">
        <v>3</v>
      </c>
      <c r="I10">
        <v>3</v>
      </c>
      <c r="J10">
        <v>3</v>
      </c>
      <c r="K10">
        <v>3</v>
      </c>
      <c r="L10">
        <v>2</v>
      </c>
      <c r="N10">
        <v>3</v>
      </c>
      <c r="O10">
        <v>3</v>
      </c>
      <c r="P10">
        <v>3</v>
      </c>
      <c r="Q10">
        <v>3</v>
      </c>
      <c r="R10">
        <v>2</v>
      </c>
      <c r="S10">
        <v>1</v>
      </c>
      <c r="U10">
        <f t="shared" si="0"/>
        <v>16</v>
      </c>
      <c r="W10">
        <f t="shared" si="1"/>
        <v>88.888888888888886</v>
      </c>
      <c r="Y10">
        <f t="shared" si="2"/>
        <v>15</v>
      </c>
      <c r="AA10">
        <f t="shared" si="3"/>
        <v>83.333333333333343</v>
      </c>
    </row>
    <row r="11" spans="1:27" x14ac:dyDescent="0.25">
      <c r="A11" t="s">
        <v>28</v>
      </c>
      <c r="B11" t="s">
        <v>58</v>
      </c>
      <c r="C11" t="s">
        <v>65</v>
      </c>
      <c r="D11">
        <v>2</v>
      </c>
      <c r="G11">
        <v>2</v>
      </c>
      <c r="H11">
        <v>3</v>
      </c>
      <c r="I11">
        <v>2</v>
      </c>
      <c r="J11">
        <v>2</v>
      </c>
      <c r="K11">
        <v>3</v>
      </c>
      <c r="L11">
        <v>3</v>
      </c>
      <c r="N11">
        <v>3</v>
      </c>
      <c r="O11">
        <v>3</v>
      </c>
      <c r="P11">
        <v>3</v>
      </c>
      <c r="Q11">
        <v>1</v>
      </c>
      <c r="R11">
        <v>2</v>
      </c>
      <c r="S11">
        <v>2</v>
      </c>
      <c r="U11">
        <f t="shared" si="0"/>
        <v>15</v>
      </c>
      <c r="W11">
        <f t="shared" si="1"/>
        <v>83.333333333333343</v>
      </c>
      <c r="Y11">
        <f t="shared" si="2"/>
        <v>14</v>
      </c>
      <c r="AA11">
        <f t="shared" si="3"/>
        <v>77.777777777777786</v>
      </c>
    </row>
    <row r="12" spans="1:27" x14ac:dyDescent="0.25">
      <c r="A12" t="s">
        <v>29</v>
      </c>
      <c r="B12" t="s">
        <v>58</v>
      </c>
      <c r="C12" t="s">
        <v>61</v>
      </c>
      <c r="D12">
        <v>2</v>
      </c>
      <c r="G12">
        <v>3</v>
      </c>
      <c r="H12">
        <v>3</v>
      </c>
      <c r="I12">
        <v>2</v>
      </c>
      <c r="J12">
        <v>3</v>
      </c>
      <c r="K12">
        <v>3</v>
      </c>
      <c r="L12">
        <v>3</v>
      </c>
      <c r="N12">
        <v>3</v>
      </c>
      <c r="O12">
        <v>3</v>
      </c>
      <c r="P12">
        <v>3</v>
      </c>
      <c r="Q12">
        <v>3</v>
      </c>
      <c r="R12">
        <v>2</v>
      </c>
      <c r="S12">
        <v>1</v>
      </c>
      <c r="U12">
        <f t="shared" si="0"/>
        <v>17</v>
      </c>
      <c r="W12">
        <f t="shared" si="1"/>
        <v>94.444444444444443</v>
      </c>
      <c r="Y12">
        <f t="shared" si="2"/>
        <v>15</v>
      </c>
      <c r="AA12">
        <f t="shared" si="3"/>
        <v>83.333333333333343</v>
      </c>
    </row>
    <row r="13" spans="1:27" x14ac:dyDescent="0.25">
      <c r="A13" t="s">
        <v>30</v>
      </c>
      <c r="B13" t="s">
        <v>58</v>
      </c>
      <c r="C13" t="s">
        <v>66</v>
      </c>
      <c r="D13">
        <v>3</v>
      </c>
      <c r="G13">
        <v>1</v>
      </c>
      <c r="H13">
        <v>3</v>
      </c>
      <c r="I13">
        <v>3</v>
      </c>
      <c r="J13">
        <v>2</v>
      </c>
      <c r="K13">
        <v>3</v>
      </c>
      <c r="L13">
        <v>3</v>
      </c>
      <c r="N13">
        <v>3</v>
      </c>
      <c r="O13">
        <v>3</v>
      </c>
      <c r="P13">
        <v>3</v>
      </c>
      <c r="Q13">
        <v>1</v>
      </c>
      <c r="R13">
        <v>3</v>
      </c>
      <c r="S13">
        <v>0</v>
      </c>
      <c r="U13">
        <f t="shared" si="0"/>
        <v>15</v>
      </c>
      <c r="W13">
        <f t="shared" si="1"/>
        <v>83.333333333333343</v>
      </c>
      <c r="Y13">
        <f t="shared" si="2"/>
        <v>13</v>
      </c>
      <c r="AA13">
        <f t="shared" si="3"/>
        <v>72.222222222222214</v>
      </c>
    </row>
    <row r="14" spans="1:27" x14ac:dyDescent="0.25">
      <c r="A14" t="s">
        <v>31</v>
      </c>
      <c r="B14" t="s">
        <v>58</v>
      </c>
      <c r="C14" t="s">
        <v>66</v>
      </c>
      <c r="D14">
        <v>3</v>
      </c>
      <c r="G14">
        <v>2</v>
      </c>
      <c r="H14">
        <v>3</v>
      </c>
      <c r="I14">
        <v>3</v>
      </c>
      <c r="J14">
        <v>3</v>
      </c>
      <c r="K14">
        <v>3</v>
      </c>
      <c r="L14">
        <v>3</v>
      </c>
      <c r="N14">
        <v>3</v>
      </c>
      <c r="O14">
        <v>3</v>
      </c>
      <c r="P14">
        <v>3</v>
      </c>
      <c r="Q14">
        <v>3</v>
      </c>
      <c r="R14">
        <v>3</v>
      </c>
      <c r="S14">
        <v>1</v>
      </c>
      <c r="U14">
        <f t="shared" si="0"/>
        <v>17</v>
      </c>
      <c r="W14">
        <f t="shared" si="1"/>
        <v>94.444444444444443</v>
      </c>
      <c r="Y14">
        <f t="shared" si="2"/>
        <v>16</v>
      </c>
      <c r="AA14">
        <f t="shared" si="3"/>
        <v>88.888888888888886</v>
      </c>
    </row>
    <row r="15" spans="1:27" x14ac:dyDescent="0.25">
      <c r="A15" t="s">
        <v>32</v>
      </c>
      <c r="B15" t="s">
        <v>58</v>
      </c>
      <c r="C15" t="s">
        <v>61</v>
      </c>
      <c r="D15">
        <v>2</v>
      </c>
      <c r="G15">
        <v>3</v>
      </c>
      <c r="H15">
        <v>3</v>
      </c>
      <c r="I15">
        <v>3</v>
      </c>
      <c r="J15">
        <v>3</v>
      </c>
      <c r="K15">
        <v>3</v>
      </c>
      <c r="L15">
        <v>3</v>
      </c>
      <c r="N15">
        <v>3</v>
      </c>
      <c r="O15">
        <v>3</v>
      </c>
      <c r="P15">
        <v>3</v>
      </c>
      <c r="Q15">
        <v>1</v>
      </c>
      <c r="R15">
        <v>3</v>
      </c>
      <c r="S15">
        <v>0</v>
      </c>
      <c r="U15">
        <f t="shared" si="0"/>
        <v>18</v>
      </c>
      <c r="W15">
        <f t="shared" si="1"/>
        <v>100</v>
      </c>
      <c r="Y15">
        <f t="shared" si="2"/>
        <v>13</v>
      </c>
      <c r="AA15">
        <f t="shared" si="3"/>
        <v>72.222222222222214</v>
      </c>
    </row>
    <row r="16" spans="1:27" x14ac:dyDescent="0.25">
      <c r="A16" t="s">
        <v>33</v>
      </c>
      <c r="B16" t="s">
        <v>58</v>
      </c>
      <c r="C16" t="s">
        <v>62</v>
      </c>
      <c r="D16">
        <v>3</v>
      </c>
      <c r="G16">
        <v>3</v>
      </c>
      <c r="H16">
        <v>3</v>
      </c>
      <c r="I16">
        <v>2</v>
      </c>
      <c r="J16">
        <v>2</v>
      </c>
      <c r="K16">
        <v>3</v>
      </c>
      <c r="L16">
        <v>3</v>
      </c>
      <c r="N16">
        <v>3</v>
      </c>
      <c r="O16">
        <v>3</v>
      </c>
      <c r="P16">
        <v>3</v>
      </c>
      <c r="Q16">
        <v>3</v>
      </c>
      <c r="R16">
        <v>2</v>
      </c>
      <c r="S16">
        <v>3</v>
      </c>
      <c r="U16">
        <f t="shared" si="0"/>
        <v>16</v>
      </c>
      <c r="W16">
        <f t="shared" si="1"/>
        <v>88.888888888888886</v>
      </c>
      <c r="Y16">
        <f t="shared" si="2"/>
        <v>17</v>
      </c>
      <c r="AA16">
        <f t="shared" si="3"/>
        <v>94.444444444444443</v>
      </c>
    </row>
    <row r="17" spans="1:27" x14ac:dyDescent="0.25">
      <c r="A17" t="s">
        <v>34</v>
      </c>
      <c r="B17" t="s">
        <v>58</v>
      </c>
      <c r="C17" t="s">
        <v>67</v>
      </c>
      <c r="D17">
        <v>3</v>
      </c>
      <c r="G17">
        <v>3</v>
      </c>
      <c r="H17">
        <v>3</v>
      </c>
      <c r="I17">
        <v>3</v>
      </c>
      <c r="J17">
        <v>3</v>
      </c>
      <c r="K17">
        <v>3</v>
      </c>
      <c r="L17">
        <v>3</v>
      </c>
      <c r="N17">
        <v>3</v>
      </c>
      <c r="O17">
        <v>3</v>
      </c>
      <c r="P17">
        <v>3</v>
      </c>
      <c r="Q17">
        <v>1</v>
      </c>
      <c r="R17">
        <v>2</v>
      </c>
      <c r="S17">
        <v>1</v>
      </c>
      <c r="U17">
        <f t="shared" si="0"/>
        <v>18</v>
      </c>
      <c r="W17">
        <f t="shared" si="1"/>
        <v>100</v>
      </c>
      <c r="Y17">
        <f t="shared" si="2"/>
        <v>13</v>
      </c>
      <c r="AA17">
        <f t="shared" si="3"/>
        <v>72.222222222222214</v>
      </c>
    </row>
    <row r="18" spans="1:27" x14ac:dyDescent="0.25">
      <c r="A18" t="s">
        <v>35</v>
      </c>
      <c r="B18" t="s">
        <v>58</v>
      </c>
      <c r="C18" t="s">
        <v>67</v>
      </c>
      <c r="D18">
        <v>3</v>
      </c>
      <c r="G18">
        <v>3</v>
      </c>
      <c r="H18">
        <v>3</v>
      </c>
      <c r="I18">
        <v>3</v>
      </c>
      <c r="J18">
        <v>3</v>
      </c>
      <c r="K18">
        <v>3</v>
      </c>
      <c r="L18">
        <v>3</v>
      </c>
      <c r="N18">
        <v>3</v>
      </c>
      <c r="O18">
        <v>3</v>
      </c>
      <c r="P18">
        <v>3</v>
      </c>
      <c r="Q18">
        <v>1</v>
      </c>
      <c r="R18">
        <v>2</v>
      </c>
      <c r="S18">
        <v>3</v>
      </c>
      <c r="U18">
        <f t="shared" si="0"/>
        <v>18</v>
      </c>
      <c r="W18">
        <f t="shared" si="1"/>
        <v>100</v>
      </c>
      <c r="Y18">
        <f t="shared" si="2"/>
        <v>15</v>
      </c>
      <c r="AA18">
        <f t="shared" si="3"/>
        <v>83.333333333333343</v>
      </c>
    </row>
    <row r="19" spans="1:27" x14ac:dyDescent="0.25">
      <c r="A19" t="s">
        <v>36</v>
      </c>
      <c r="B19" t="s">
        <v>58</v>
      </c>
      <c r="C19" t="s">
        <v>61</v>
      </c>
      <c r="D19">
        <v>2</v>
      </c>
      <c r="G19">
        <v>3</v>
      </c>
      <c r="H19">
        <v>3</v>
      </c>
      <c r="I19">
        <v>3</v>
      </c>
      <c r="J19">
        <v>3</v>
      </c>
      <c r="K19">
        <v>3</v>
      </c>
      <c r="L19">
        <v>3</v>
      </c>
      <c r="N19">
        <v>3</v>
      </c>
      <c r="O19">
        <v>3</v>
      </c>
      <c r="P19">
        <v>3</v>
      </c>
      <c r="Q19">
        <v>3</v>
      </c>
      <c r="R19">
        <v>2</v>
      </c>
      <c r="S19">
        <v>1</v>
      </c>
      <c r="U19">
        <f t="shared" si="0"/>
        <v>18</v>
      </c>
      <c r="W19">
        <f t="shared" si="1"/>
        <v>100</v>
      </c>
      <c r="Y19">
        <f t="shared" si="2"/>
        <v>15</v>
      </c>
      <c r="AA19">
        <f t="shared" si="3"/>
        <v>83.333333333333343</v>
      </c>
    </row>
    <row r="20" spans="1:27" x14ac:dyDescent="0.25">
      <c r="A20" t="s">
        <v>37</v>
      </c>
      <c r="B20" t="s">
        <v>58</v>
      </c>
      <c r="C20" t="s">
        <v>68</v>
      </c>
      <c r="D20">
        <v>2</v>
      </c>
      <c r="G20">
        <v>3</v>
      </c>
      <c r="H20">
        <v>3</v>
      </c>
      <c r="I20">
        <v>3</v>
      </c>
      <c r="J20">
        <v>3</v>
      </c>
      <c r="K20">
        <v>3</v>
      </c>
      <c r="L20">
        <v>3</v>
      </c>
      <c r="N20">
        <v>3</v>
      </c>
      <c r="O20">
        <v>3</v>
      </c>
      <c r="P20">
        <v>3</v>
      </c>
      <c r="Q20">
        <v>3</v>
      </c>
      <c r="R20">
        <v>3</v>
      </c>
      <c r="S20">
        <v>3</v>
      </c>
      <c r="U20">
        <f t="shared" si="0"/>
        <v>18</v>
      </c>
      <c r="W20">
        <f t="shared" si="1"/>
        <v>100</v>
      </c>
      <c r="Y20">
        <f t="shared" si="2"/>
        <v>18</v>
      </c>
      <c r="AA20">
        <f t="shared" si="3"/>
        <v>100</v>
      </c>
    </row>
    <row r="21" spans="1:27" x14ac:dyDescent="0.25">
      <c r="A21" t="s">
        <v>38</v>
      </c>
      <c r="B21" t="s">
        <v>58</v>
      </c>
      <c r="C21" t="s">
        <v>67</v>
      </c>
      <c r="D21">
        <v>3</v>
      </c>
      <c r="G21">
        <v>3</v>
      </c>
      <c r="H21">
        <v>3</v>
      </c>
      <c r="I21">
        <v>3</v>
      </c>
      <c r="J21">
        <v>3</v>
      </c>
      <c r="K21">
        <v>3</v>
      </c>
      <c r="L21">
        <v>3</v>
      </c>
      <c r="N21">
        <v>3</v>
      </c>
      <c r="O21">
        <v>3</v>
      </c>
      <c r="P21">
        <v>3</v>
      </c>
      <c r="Q21">
        <v>3</v>
      </c>
      <c r="R21">
        <v>3</v>
      </c>
      <c r="S21">
        <v>2</v>
      </c>
      <c r="U21">
        <f t="shared" si="0"/>
        <v>18</v>
      </c>
      <c r="W21">
        <f t="shared" si="1"/>
        <v>100</v>
      </c>
      <c r="Y21">
        <f t="shared" si="2"/>
        <v>17</v>
      </c>
      <c r="AA21">
        <f t="shared" si="3"/>
        <v>94.444444444444443</v>
      </c>
    </row>
    <row r="22" spans="1:27" x14ac:dyDescent="0.25">
      <c r="A22" t="s">
        <v>39</v>
      </c>
      <c r="B22" t="s">
        <v>58</v>
      </c>
      <c r="C22" t="s">
        <v>69</v>
      </c>
      <c r="D22">
        <v>2</v>
      </c>
      <c r="G22">
        <v>3</v>
      </c>
      <c r="H22">
        <v>3</v>
      </c>
      <c r="I22">
        <v>3</v>
      </c>
      <c r="J22">
        <v>3</v>
      </c>
      <c r="K22">
        <v>3</v>
      </c>
      <c r="L22">
        <v>3</v>
      </c>
      <c r="N22">
        <v>3</v>
      </c>
      <c r="O22">
        <v>3</v>
      </c>
      <c r="P22">
        <v>3</v>
      </c>
      <c r="Q22">
        <v>1</v>
      </c>
      <c r="R22">
        <v>2</v>
      </c>
      <c r="S22">
        <v>1</v>
      </c>
      <c r="U22">
        <f t="shared" si="0"/>
        <v>18</v>
      </c>
      <c r="W22">
        <f t="shared" si="1"/>
        <v>100</v>
      </c>
      <c r="Y22">
        <f t="shared" si="2"/>
        <v>13</v>
      </c>
      <c r="AA22">
        <f t="shared" si="3"/>
        <v>72.222222222222214</v>
      </c>
    </row>
    <row r="23" spans="1:27" x14ac:dyDescent="0.25">
      <c r="A23" t="s">
        <v>40</v>
      </c>
      <c r="B23" t="s">
        <v>58</v>
      </c>
      <c r="C23" t="s">
        <v>61</v>
      </c>
      <c r="D23">
        <v>2</v>
      </c>
      <c r="G23">
        <v>2</v>
      </c>
      <c r="H23">
        <v>3</v>
      </c>
      <c r="I23">
        <v>3</v>
      </c>
      <c r="J23">
        <v>3</v>
      </c>
      <c r="K23">
        <v>2</v>
      </c>
      <c r="L23">
        <v>3</v>
      </c>
      <c r="N23">
        <v>2</v>
      </c>
      <c r="O23">
        <v>3</v>
      </c>
      <c r="P23">
        <v>3</v>
      </c>
      <c r="Q23">
        <v>1</v>
      </c>
      <c r="R23">
        <v>1</v>
      </c>
      <c r="S23">
        <v>1</v>
      </c>
      <c r="U23">
        <f t="shared" si="0"/>
        <v>16</v>
      </c>
      <c r="W23">
        <f t="shared" si="1"/>
        <v>88.888888888888886</v>
      </c>
      <c r="Y23">
        <f t="shared" si="2"/>
        <v>11</v>
      </c>
      <c r="AA23">
        <f t="shared" si="3"/>
        <v>61.111111111111114</v>
      </c>
    </row>
    <row r="24" spans="1:27" x14ac:dyDescent="0.25">
      <c r="A24" t="s">
        <v>41</v>
      </c>
      <c r="B24" t="s">
        <v>58</v>
      </c>
      <c r="C24" t="s">
        <v>67</v>
      </c>
      <c r="D24">
        <v>3</v>
      </c>
      <c r="G24">
        <v>3</v>
      </c>
      <c r="H24">
        <v>3</v>
      </c>
      <c r="I24">
        <v>3</v>
      </c>
      <c r="J24">
        <v>3</v>
      </c>
      <c r="K24">
        <v>3</v>
      </c>
      <c r="L24">
        <v>3</v>
      </c>
      <c r="N24">
        <v>3</v>
      </c>
      <c r="O24">
        <v>3</v>
      </c>
      <c r="P24">
        <v>3</v>
      </c>
      <c r="Q24">
        <v>3</v>
      </c>
      <c r="R24">
        <v>1</v>
      </c>
      <c r="S24">
        <v>1</v>
      </c>
      <c r="U24">
        <f t="shared" si="0"/>
        <v>18</v>
      </c>
      <c r="W24">
        <f t="shared" si="1"/>
        <v>100</v>
      </c>
      <c r="Y24">
        <f t="shared" si="2"/>
        <v>14</v>
      </c>
      <c r="AA24">
        <f t="shared" si="3"/>
        <v>77.777777777777786</v>
      </c>
    </row>
    <row r="25" spans="1:27" x14ac:dyDescent="0.25">
      <c r="A25" t="s">
        <v>42</v>
      </c>
      <c r="B25" t="s">
        <v>58</v>
      </c>
      <c r="C25" t="s">
        <v>70</v>
      </c>
      <c r="D25">
        <v>2</v>
      </c>
      <c r="G25">
        <v>2</v>
      </c>
      <c r="H25">
        <v>3</v>
      </c>
      <c r="I25">
        <v>1</v>
      </c>
      <c r="J25">
        <v>1</v>
      </c>
      <c r="K25">
        <v>2</v>
      </c>
      <c r="L25">
        <v>3</v>
      </c>
      <c r="N25">
        <v>2</v>
      </c>
      <c r="O25">
        <v>2</v>
      </c>
      <c r="P25">
        <v>0</v>
      </c>
      <c r="Q25">
        <v>0</v>
      </c>
      <c r="R25">
        <v>1</v>
      </c>
      <c r="S25">
        <v>0</v>
      </c>
      <c r="U25">
        <f t="shared" si="0"/>
        <v>12</v>
      </c>
      <c r="W25">
        <f t="shared" si="1"/>
        <v>66.666666666666657</v>
      </c>
      <c r="Y25">
        <f t="shared" si="2"/>
        <v>5</v>
      </c>
      <c r="AA25">
        <f t="shared" si="3"/>
        <v>27.777777777777779</v>
      </c>
    </row>
    <row r="26" spans="1:27" x14ac:dyDescent="0.25">
      <c r="A26" t="s">
        <v>43</v>
      </c>
      <c r="B26" t="s">
        <v>58</v>
      </c>
      <c r="C26" t="s">
        <v>66</v>
      </c>
      <c r="D26">
        <v>2</v>
      </c>
      <c r="G26">
        <v>3</v>
      </c>
      <c r="H26">
        <v>3</v>
      </c>
      <c r="I26">
        <v>1</v>
      </c>
      <c r="J26">
        <v>3</v>
      </c>
      <c r="K26">
        <v>2</v>
      </c>
      <c r="L26">
        <v>3</v>
      </c>
      <c r="N26">
        <v>2</v>
      </c>
      <c r="O26">
        <v>2</v>
      </c>
      <c r="P26">
        <v>0</v>
      </c>
      <c r="Q26">
        <v>0</v>
      </c>
      <c r="R26">
        <v>2</v>
      </c>
      <c r="S26">
        <v>0</v>
      </c>
      <c r="U26">
        <f t="shared" si="0"/>
        <v>15</v>
      </c>
      <c r="W26">
        <f t="shared" si="1"/>
        <v>83.333333333333343</v>
      </c>
      <c r="Y26">
        <f t="shared" si="2"/>
        <v>6</v>
      </c>
      <c r="AA26">
        <f t="shared" si="3"/>
        <v>33.333333333333329</v>
      </c>
    </row>
    <row r="27" spans="1:27" x14ac:dyDescent="0.25">
      <c r="A27" t="s">
        <v>44</v>
      </c>
      <c r="B27" t="s">
        <v>58</v>
      </c>
      <c r="C27" t="s">
        <v>60</v>
      </c>
      <c r="D27">
        <v>3</v>
      </c>
      <c r="G27">
        <v>3</v>
      </c>
      <c r="H27">
        <v>3</v>
      </c>
      <c r="I27">
        <v>3</v>
      </c>
      <c r="J27">
        <v>3</v>
      </c>
      <c r="K27">
        <v>2</v>
      </c>
      <c r="L27">
        <v>3</v>
      </c>
      <c r="N27">
        <v>2</v>
      </c>
      <c r="O27">
        <v>2</v>
      </c>
      <c r="P27">
        <v>3</v>
      </c>
      <c r="Q27">
        <v>1</v>
      </c>
      <c r="R27">
        <v>2</v>
      </c>
      <c r="S27">
        <v>1</v>
      </c>
      <c r="U27">
        <f t="shared" si="0"/>
        <v>17</v>
      </c>
      <c r="W27">
        <f t="shared" si="1"/>
        <v>94.444444444444443</v>
      </c>
      <c r="Y27">
        <f t="shared" si="2"/>
        <v>11</v>
      </c>
      <c r="AA27">
        <f t="shared" si="3"/>
        <v>61.111111111111114</v>
      </c>
    </row>
    <row r="28" spans="1:27" x14ac:dyDescent="0.25">
      <c r="A28" t="s">
        <v>45</v>
      </c>
      <c r="B28" t="s">
        <v>58</v>
      </c>
      <c r="C28" t="s">
        <v>71</v>
      </c>
      <c r="D28">
        <v>3</v>
      </c>
      <c r="G28">
        <v>3</v>
      </c>
      <c r="H28">
        <v>3</v>
      </c>
      <c r="I28">
        <v>3</v>
      </c>
      <c r="J28">
        <v>3</v>
      </c>
      <c r="K28">
        <v>3</v>
      </c>
      <c r="L28">
        <v>3</v>
      </c>
      <c r="N28">
        <v>3</v>
      </c>
      <c r="O28">
        <v>3</v>
      </c>
      <c r="P28">
        <v>3</v>
      </c>
      <c r="Q28">
        <v>3</v>
      </c>
      <c r="R28">
        <v>3</v>
      </c>
      <c r="S28">
        <v>3</v>
      </c>
      <c r="U28">
        <f t="shared" si="0"/>
        <v>18</v>
      </c>
      <c r="W28">
        <f t="shared" si="1"/>
        <v>100</v>
      </c>
      <c r="Y28">
        <f t="shared" si="2"/>
        <v>18</v>
      </c>
      <c r="AA28">
        <f t="shared" si="3"/>
        <v>100</v>
      </c>
    </row>
    <row r="29" spans="1:27" x14ac:dyDescent="0.25">
      <c r="A29" t="s">
        <v>46</v>
      </c>
      <c r="B29" t="s">
        <v>58</v>
      </c>
      <c r="C29" t="s">
        <v>69</v>
      </c>
      <c r="D29">
        <v>3</v>
      </c>
      <c r="G29">
        <v>3</v>
      </c>
      <c r="H29">
        <v>3</v>
      </c>
      <c r="I29">
        <v>3</v>
      </c>
      <c r="J29">
        <v>3</v>
      </c>
      <c r="K29">
        <v>3</v>
      </c>
      <c r="L29">
        <v>3</v>
      </c>
      <c r="N29">
        <v>3</v>
      </c>
      <c r="O29">
        <v>3</v>
      </c>
      <c r="P29">
        <v>3</v>
      </c>
      <c r="Q29">
        <v>1</v>
      </c>
      <c r="R29">
        <v>1</v>
      </c>
      <c r="S29">
        <v>3</v>
      </c>
      <c r="U29">
        <f t="shared" si="0"/>
        <v>18</v>
      </c>
      <c r="W29">
        <f t="shared" si="1"/>
        <v>100</v>
      </c>
      <c r="Y29">
        <f t="shared" si="2"/>
        <v>14</v>
      </c>
      <c r="AA29">
        <f t="shared" si="3"/>
        <v>77.777777777777786</v>
      </c>
    </row>
    <row r="30" spans="1:27" x14ac:dyDescent="0.25">
      <c r="A30" t="s">
        <v>47</v>
      </c>
      <c r="B30" t="s">
        <v>58</v>
      </c>
      <c r="C30" t="s">
        <v>62</v>
      </c>
      <c r="D30">
        <v>3</v>
      </c>
      <c r="G30">
        <v>3</v>
      </c>
      <c r="H30">
        <v>3</v>
      </c>
      <c r="I30">
        <v>1</v>
      </c>
      <c r="J30">
        <v>2</v>
      </c>
      <c r="K30">
        <v>3</v>
      </c>
      <c r="L30">
        <v>3</v>
      </c>
      <c r="N30">
        <v>3</v>
      </c>
      <c r="O30">
        <v>3</v>
      </c>
      <c r="P30">
        <v>3</v>
      </c>
      <c r="Q30">
        <v>1</v>
      </c>
      <c r="R30">
        <v>1</v>
      </c>
      <c r="S30">
        <v>3</v>
      </c>
      <c r="U30">
        <f t="shared" si="0"/>
        <v>15</v>
      </c>
      <c r="W30">
        <f t="shared" si="1"/>
        <v>83.333333333333343</v>
      </c>
      <c r="Y30">
        <f t="shared" si="2"/>
        <v>14</v>
      </c>
      <c r="AA30">
        <f t="shared" si="3"/>
        <v>77.777777777777786</v>
      </c>
    </row>
    <row r="31" spans="1:27" x14ac:dyDescent="0.25">
      <c r="A31" t="s">
        <v>48</v>
      </c>
      <c r="B31" t="s">
        <v>58</v>
      </c>
      <c r="C31" t="s">
        <v>72</v>
      </c>
      <c r="D31">
        <v>3</v>
      </c>
      <c r="G31">
        <v>3</v>
      </c>
      <c r="H31">
        <v>3</v>
      </c>
      <c r="I31">
        <v>3</v>
      </c>
      <c r="J31">
        <v>3</v>
      </c>
      <c r="K31">
        <v>3</v>
      </c>
      <c r="L31">
        <v>3</v>
      </c>
      <c r="N31">
        <v>3</v>
      </c>
      <c r="O31">
        <v>3</v>
      </c>
      <c r="P31">
        <v>3</v>
      </c>
      <c r="Q31">
        <v>3</v>
      </c>
      <c r="R31">
        <v>1</v>
      </c>
      <c r="S31">
        <v>3</v>
      </c>
      <c r="U31">
        <f t="shared" si="0"/>
        <v>18</v>
      </c>
      <c r="W31">
        <f t="shared" si="1"/>
        <v>100</v>
      </c>
      <c r="Y31">
        <f t="shared" si="2"/>
        <v>16</v>
      </c>
      <c r="AA31">
        <f t="shared" si="3"/>
        <v>88.888888888888886</v>
      </c>
    </row>
    <row r="34" spans="1:27" x14ac:dyDescent="0.25">
      <c r="A34" t="s">
        <v>49</v>
      </c>
      <c r="B34" t="s">
        <v>59</v>
      </c>
      <c r="C34" t="s">
        <v>61</v>
      </c>
      <c r="D34">
        <v>2</v>
      </c>
      <c r="G34">
        <v>2</v>
      </c>
      <c r="H34">
        <v>3</v>
      </c>
      <c r="I34">
        <v>0</v>
      </c>
      <c r="J34">
        <v>2</v>
      </c>
      <c r="K34">
        <v>2</v>
      </c>
      <c r="L34">
        <v>3</v>
      </c>
      <c r="N34">
        <v>1</v>
      </c>
      <c r="O34">
        <v>2</v>
      </c>
      <c r="P34">
        <v>0</v>
      </c>
      <c r="Q34">
        <v>0</v>
      </c>
      <c r="R34">
        <v>2</v>
      </c>
      <c r="S34">
        <v>1</v>
      </c>
      <c r="U34">
        <f>SUM(G34:L34)</f>
        <v>12</v>
      </c>
      <c r="W34">
        <f>(U34/18)*100</f>
        <v>66.666666666666657</v>
      </c>
      <c r="Y34">
        <f>SUM(N34:S34)</f>
        <v>6</v>
      </c>
      <c r="AA34">
        <f>(Y34/18)*100</f>
        <v>33.333333333333329</v>
      </c>
    </row>
    <row r="35" spans="1:27" x14ac:dyDescent="0.25">
      <c r="A35" t="s">
        <v>50</v>
      </c>
      <c r="B35" t="s">
        <v>59</v>
      </c>
      <c r="C35" t="s">
        <v>66</v>
      </c>
      <c r="D35">
        <v>2</v>
      </c>
      <c r="G35">
        <v>2</v>
      </c>
      <c r="H35">
        <v>0</v>
      </c>
      <c r="I35">
        <v>3</v>
      </c>
      <c r="J35">
        <v>1</v>
      </c>
      <c r="K35">
        <v>3</v>
      </c>
      <c r="L35">
        <v>1</v>
      </c>
      <c r="N35">
        <v>1</v>
      </c>
      <c r="O35">
        <v>2</v>
      </c>
      <c r="P35">
        <v>0</v>
      </c>
      <c r="Q35">
        <v>0</v>
      </c>
      <c r="R35">
        <v>3</v>
      </c>
      <c r="S35">
        <v>0</v>
      </c>
      <c r="U35">
        <f t="shared" ref="U35:U42" si="4">SUM(G35:L35)</f>
        <v>10</v>
      </c>
      <c r="W35">
        <f t="shared" ref="W35:W42" si="5">(U35/18)*100</f>
        <v>55.555555555555557</v>
      </c>
      <c r="Y35">
        <f t="shared" ref="Y35:Y42" si="6">SUM(N35:S35)</f>
        <v>6</v>
      </c>
      <c r="AA35">
        <f t="shared" ref="AA35:AA42" si="7">(Y35/18)*100</f>
        <v>33.333333333333329</v>
      </c>
    </row>
    <row r="36" spans="1:27" x14ac:dyDescent="0.25">
      <c r="A36" t="s">
        <v>51</v>
      </c>
      <c r="B36" t="s">
        <v>59</v>
      </c>
      <c r="C36" t="s">
        <v>66</v>
      </c>
      <c r="D36">
        <v>3</v>
      </c>
      <c r="G36">
        <v>2</v>
      </c>
      <c r="H36">
        <v>0</v>
      </c>
      <c r="I36">
        <v>3</v>
      </c>
      <c r="J36">
        <v>2</v>
      </c>
      <c r="K36">
        <v>3</v>
      </c>
      <c r="L36">
        <v>1</v>
      </c>
      <c r="N36">
        <v>1</v>
      </c>
      <c r="O36">
        <v>2</v>
      </c>
      <c r="P36">
        <v>0</v>
      </c>
      <c r="Q36">
        <v>0</v>
      </c>
      <c r="R36">
        <v>3</v>
      </c>
      <c r="S36">
        <v>0</v>
      </c>
      <c r="U36">
        <f t="shared" si="4"/>
        <v>11</v>
      </c>
      <c r="W36">
        <f t="shared" si="5"/>
        <v>61.111111111111114</v>
      </c>
      <c r="Y36">
        <f t="shared" si="6"/>
        <v>6</v>
      </c>
      <c r="AA36">
        <f t="shared" si="7"/>
        <v>33.333333333333329</v>
      </c>
    </row>
    <row r="37" spans="1:27" x14ac:dyDescent="0.25">
      <c r="A37" t="s">
        <v>52</v>
      </c>
      <c r="B37" t="s">
        <v>59</v>
      </c>
      <c r="C37" t="s">
        <v>73</v>
      </c>
      <c r="D37">
        <v>2</v>
      </c>
      <c r="G37">
        <v>2</v>
      </c>
      <c r="H37">
        <v>3</v>
      </c>
      <c r="I37">
        <v>0</v>
      </c>
      <c r="J37">
        <v>2</v>
      </c>
      <c r="K37">
        <v>3</v>
      </c>
      <c r="L37">
        <v>3</v>
      </c>
      <c r="N37">
        <v>3</v>
      </c>
      <c r="O37">
        <v>3</v>
      </c>
      <c r="P37">
        <v>3</v>
      </c>
      <c r="Q37">
        <v>0</v>
      </c>
      <c r="R37">
        <v>2</v>
      </c>
      <c r="S37">
        <v>3</v>
      </c>
      <c r="U37">
        <f t="shared" si="4"/>
        <v>13</v>
      </c>
      <c r="W37">
        <f t="shared" si="5"/>
        <v>72.222222222222214</v>
      </c>
      <c r="Y37">
        <f t="shared" si="6"/>
        <v>14</v>
      </c>
      <c r="AA37">
        <f t="shared" si="7"/>
        <v>77.777777777777786</v>
      </c>
    </row>
    <row r="38" spans="1:27" x14ac:dyDescent="0.25">
      <c r="A38" t="s">
        <v>53</v>
      </c>
      <c r="B38" t="s">
        <v>59</v>
      </c>
      <c r="C38" t="s">
        <v>74</v>
      </c>
      <c r="D38">
        <v>3</v>
      </c>
      <c r="G38">
        <v>2</v>
      </c>
      <c r="H38">
        <v>0</v>
      </c>
      <c r="I38">
        <v>3</v>
      </c>
      <c r="J38">
        <v>2</v>
      </c>
      <c r="K38">
        <v>1</v>
      </c>
      <c r="L38">
        <v>1</v>
      </c>
      <c r="N38">
        <v>1</v>
      </c>
      <c r="O38">
        <v>2</v>
      </c>
      <c r="P38">
        <v>0</v>
      </c>
      <c r="Q38">
        <v>0</v>
      </c>
      <c r="R38">
        <v>2</v>
      </c>
      <c r="S38">
        <v>0</v>
      </c>
      <c r="U38">
        <f t="shared" si="4"/>
        <v>9</v>
      </c>
      <c r="W38">
        <f t="shared" si="5"/>
        <v>50</v>
      </c>
      <c r="Y38">
        <f t="shared" si="6"/>
        <v>5</v>
      </c>
      <c r="AA38">
        <f t="shared" si="7"/>
        <v>27.777777777777779</v>
      </c>
    </row>
    <row r="39" spans="1:27" x14ac:dyDescent="0.25">
      <c r="A39" t="s">
        <v>54</v>
      </c>
      <c r="B39" t="s">
        <v>59</v>
      </c>
      <c r="C39" t="s">
        <v>61</v>
      </c>
      <c r="D39">
        <v>2</v>
      </c>
      <c r="G39">
        <v>3</v>
      </c>
      <c r="H39">
        <v>3</v>
      </c>
      <c r="I39">
        <v>3</v>
      </c>
      <c r="J39">
        <v>3</v>
      </c>
      <c r="K39">
        <v>1</v>
      </c>
      <c r="L39">
        <v>3</v>
      </c>
      <c r="N39">
        <v>1</v>
      </c>
      <c r="O39">
        <v>1</v>
      </c>
      <c r="P39">
        <v>0</v>
      </c>
      <c r="Q39">
        <v>0</v>
      </c>
      <c r="R39">
        <v>1</v>
      </c>
      <c r="S39">
        <v>0</v>
      </c>
      <c r="U39">
        <f t="shared" si="4"/>
        <v>16</v>
      </c>
      <c r="W39">
        <f t="shared" si="5"/>
        <v>88.888888888888886</v>
      </c>
      <c r="Y39">
        <f t="shared" si="6"/>
        <v>3</v>
      </c>
      <c r="AA39">
        <f t="shared" si="7"/>
        <v>16.666666666666664</v>
      </c>
    </row>
    <row r="40" spans="1:27" x14ac:dyDescent="0.25">
      <c r="A40" t="s">
        <v>55</v>
      </c>
      <c r="B40" t="s">
        <v>59</v>
      </c>
      <c r="C40" t="s">
        <v>66</v>
      </c>
      <c r="D40">
        <v>2</v>
      </c>
      <c r="G40">
        <v>2</v>
      </c>
      <c r="H40">
        <v>0</v>
      </c>
      <c r="I40">
        <v>1</v>
      </c>
      <c r="J40">
        <v>2</v>
      </c>
      <c r="K40">
        <v>1</v>
      </c>
      <c r="L40">
        <v>1</v>
      </c>
      <c r="N40">
        <v>1</v>
      </c>
      <c r="O40">
        <v>1</v>
      </c>
      <c r="P40">
        <v>0</v>
      </c>
      <c r="Q40">
        <v>0</v>
      </c>
      <c r="R40">
        <v>1</v>
      </c>
      <c r="S40">
        <v>0</v>
      </c>
      <c r="U40">
        <f t="shared" si="4"/>
        <v>7</v>
      </c>
      <c r="W40">
        <f t="shared" si="5"/>
        <v>38.888888888888893</v>
      </c>
      <c r="Y40">
        <f t="shared" si="6"/>
        <v>3</v>
      </c>
      <c r="AA40">
        <f t="shared" si="7"/>
        <v>16.666666666666664</v>
      </c>
    </row>
    <row r="41" spans="1:27" x14ac:dyDescent="0.25">
      <c r="A41" t="s">
        <v>56</v>
      </c>
      <c r="B41" t="s">
        <v>59</v>
      </c>
      <c r="C41" t="s">
        <v>75</v>
      </c>
      <c r="D41">
        <v>3</v>
      </c>
      <c r="G41">
        <v>2</v>
      </c>
      <c r="H41">
        <v>3</v>
      </c>
      <c r="I41">
        <v>0</v>
      </c>
      <c r="J41">
        <v>2</v>
      </c>
      <c r="K41">
        <v>3</v>
      </c>
      <c r="L41">
        <v>1</v>
      </c>
      <c r="N41">
        <v>3</v>
      </c>
      <c r="O41">
        <v>3</v>
      </c>
      <c r="P41">
        <v>0</v>
      </c>
      <c r="Q41">
        <v>0</v>
      </c>
      <c r="R41">
        <v>2</v>
      </c>
      <c r="S41">
        <v>3</v>
      </c>
      <c r="U41">
        <f t="shared" si="4"/>
        <v>11</v>
      </c>
      <c r="W41">
        <f t="shared" si="5"/>
        <v>61.111111111111114</v>
      </c>
      <c r="Y41">
        <f t="shared" si="6"/>
        <v>11</v>
      </c>
      <c r="AA41">
        <f t="shared" si="7"/>
        <v>61.111111111111114</v>
      </c>
    </row>
    <row r="42" spans="1:27" x14ac:dyDescent="0.25">
      <c r="A42" t="s">
        <v>57</v>
      </c>
      <c r="B42" t="s">
        <v>59</v>
      </c>
      <c r="C42" t="s">
        <v>76</v>
      </c>
      <c r="D42">
        <v>2</v>
      </c>
      <c r="G42">
        <v>2</v>
      </c>
      <c r="H42">
        <v>3</v>
      </c>
      <c r="I42">
        <v>0</v>
      </c>
      <c r="J42">
        <v>3</v>
      </c>
      <c r="K42">
        <v>1</v>
      </c>
      <c r="L42">
        <v>2</v>
      </c>
      <c r="N42">
        <v>1</v>
      </c>
      <c r="O42">
        <v>0</v>
      </c>
      <c r="P42">
        <v>0</v>
      </c>
      <c r="Q42">
        <v>0</v>
      </c>
      <c r="R42">
        <v>1</v>
      </c>
      <c r="S42">
        <v>2</v>
      </c>
      <c r="U42">
        <f t="shared" si="4"/>
        <v>11</v>
      </c>
      <c r="W42">
        <f t="shared" si="5"/>
        <v>61.111111111111114</v>
      </c>
      <c r="Y42">
        <f t="shared" si="6"/>
        <v>4</v>
      </c>
      <c r="AA42">
        <f t="shared" si="7"/>
        <v>22.222222222222221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GIREESH REDDY</dc:creator>
  <cp:lastModifiedBy>GIREESH REDDY</cp:lastModifiedBy>
  <dcterms:created xsi:type="dcterms:W3CDTF">2026-02-23T22:17:54Z</dcterms:created>
  <dcterms:modified xsi:type="dcterms:W3CDTF">2026-04-07T00:39:48Z</dcterms:modified>
</cp:coreProperties>
</file>